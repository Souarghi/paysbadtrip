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e densemble Pays-Bas" sheetId="1" r:id="rId5"/>
    <sheet state="visible" name="Activité" sheetId="2" r:id="rId6"/>
    <sheet state="visible" name="Logement" sheetId="3" r:id="rId7"/>
    <sheet state="visible" name="Transport" sheetId="4" r:id="rId8"/>
  </sheets>
  <definedNames/>
  <calcPr/>
</workbook>
</file>

<file path=xl/sharedStrings.xml><?xml version="1.0" encoding="utf-8"?>
<sst xmlns="http://schemas.openxmlformats.org/spreadsheetml/2006/main" count="178" uniqueCount="105">
  <si>
    <t>Date</t>
  </si>
  <si>
    <t>Logement / Option</t>
  </si>
  <si>
    <t>LOCATION VOITURE</t>
  </si>
  <si>
    <t>Prénom</t>
  </si>
  <si>
    <t>Dépense</t>
  </si>
  <si>
    <t>Coût Total Estimé</t>
  </si>
  <si>
    <t>Divisé par</t>
  </si>
  <si>
    <t>Lieu</t>
  </si>
  <si>
    <t>Disponibilité (Août)</t>
  </si>
  <si>
    <t>Coût Team "Chômeurs" (Matin)</t>
  </si>
  <si>
    <t>Trajet / Lieu</t>
  </si>
  <si>
    <t>Coût Team "Stagiaires" (Soir)</t>
  </si>
  <si>
    <t>Présence</t>
  </si>
  <si>
    <t>Programme précis de la journée</t>
  </si>
  <si>
    <t>https://oscar.nl/en/booking/search?type_group=27&amp;delivery_at=2026-08-14&amp;postal=Amsterdam&amp;age=100&amp;pickup_at=2026-08-09</t>
  </si>
  <si>
    <t>Prix Total &amp; Capacité</t>
  </si>
  <si>
    <t>Remarques</t>
  </si>
  <si>
    <t>Activités prévues &amp; Soirée</t>
  </si>
  <si>
    <t>Dates</t>
  </si>
  <si>
    <t>Colonne 1</t>
  </si>
  <si>
    <t>Transport</t>
  </si>
  <si>
    <t>Lien</t>
  </si>
  <si>
    <t>note</t>
  </si>
  <si>
    <t>Logement / Option 2</t>
  </si>
  <si>
    <t>Romane</t>
  </si>
  <si>
    <t>Lieu 2</t>
  </si>
  <si>
    <t>Prix Total &amp; Capacité 2</t>
  </si>
  <si>
    <t>2ème semaine</t>
  </si>
  <si>
    <t>Auberge BXL Centre</t>
  </si>
  <si>
    <t>✅ OUI</t>
  </si>
  <si>
    <t>Bruxelles</t>
  </si>
  <si>
    <t>535 € (Pour 9 pers)</t>
  </si>
  <si>
    <t>07/08 au 09/08</t>
  </si>
  <si>
    <t>Visite complète de Bruxelles (Grand-Place, Atomium, gaufres).</t>
  </si>
  <si>
    <r>
      <rPr>
        <rFont val="Calibri"/>
        <color theme="1"/>
      </rPr>
      <t xml:space="preserve">Payer : </t>
    </r>
    <r>
      <rPr>
        <rFont val="Calibri"/>
        <color rgb="FFFF0000"/>
      </rPr>
      <t>517,86</t>
    </r>
    <r>
      <rPr>
        <rFont val="Calibri"/>
        <color theme="1"/>
      </rPr>
      <t xml:space="preserve"> Hotel bruxelles</t>
    </r>
  </si>
  <si>
    <t>🔗 Ouvrir Booking</t>
  </si>
  <si>
    <t>Soirée : Bar 🍻</t>
  </si>
  <si>
    <t>🚄 Paris ➡️ Bruxelles</t>
  </si>
  <si>
    <t xml:space="preserve">Le plan de Brad est respecté 🍻  </t>
  </si>
  <si>
    <t>À pieds</t>
  </si>
  <si>
    <t>https://vivreabruxelles.be/visiter-bruxelles-en-une-journee.html</t>
  </si>
  <si>
    <t>Selon train</t>
  </si>
  <si>
    <t>🚄 Bruxelles ➡️ Amsterdam</t>
  </si>
  <si>
    <t>Élise</t>
  </si>
  <si>
    <t>8 pers</t>
  </si>
  <si>
    <t>Tout</t>
  </si>
  <si>
    <t>536 € (Pour 9 pers)</t>
  </si>
  <si>
    <t>Airbnb 2 : Heemstede</t>
  </si>
  <si>
    <t>Heemstede</t>
  </si>
  <si>
    <t>2 012 € (Pour 8 pers)</t>
  </si>
  <si>
    <t>BXL ➡️ Amsterdam (Heemstede)</t>
  </si>
  <si>
    <t>09/08 au 14/08</t>
  </si>
  <si>
    <t>🔗 Ouvrir Airbnb</t>
  </si>
  <si>
    <t>Train TGV pris tôt. Journée plage, chill, pique-nique et courses pour le Airbnb.</t>
  </si>
  <si>
    <t>Matthieu</t>
  </si>
  <si>
    <t>🚄 Amsterdam ➡️ Paris</t>
  </si>
  <si>
    <t>TGV</t>
  </si>
  <si>
    <t>Exploration : Waterland city + Volendam + Marken.</t>
  </si>
  <si>
    <t>🚗 Voiture Oscar (2j + 300km)</t>
  </si>
  <si>
    <t>Tom</t>
  </si>
  <si>
    <t xml:space="preserve"> Soirée : Bar 🍻</t>
  </si>
  <si>
    <t>3 012 € (Pour 8 pers)</t>
  </si>
  <si>
    <t>Train et bus</t>
  </si>
  <si>
    <r>
      <rPr>
        <rFont val="Calibri"/>
        <color theme="1"/>
      </rPr>
      <t xml:space="preserve">Payer : </t>
    </r>
    <r>
      <rPr>
        <rFont val="Calibri"/>
        <color rgb="FFFF0000"/>
      </rPr>
      <t xml:space="preserve">148,25  </t>
    </r>
    <r>
      <rPr>
        <rFont val="Calibri"/>
        <color theme="1"/>
      </rPr>
      <t>Paris - Bruxelles</t>
    </r>
  </si>
  <si>
    <t>Louis</t>
  </si>
  <si>
    <t>Excursion : Giethoorn (Village sans route) + Elburg.</t>
  </si>
  <si>
    <t>Giethoorn Canal Cruise (9€)+ Soirée : Bar 🍻</t>
  </si>
  <si>
    <t>Voiture 🚗</t>
  </si>
  <si>
    <t>Brad</t>
  </si>
  <si>
    <t>2ème et 3ème</t>
  </si>
  <si>
    <r>
      <rPr>
        <rFont val="Calibri"/>
        <color theme="1"/>
      </rPr>
      <t xml:space="preserve">Payer : </t>
    </r>
    <r>
      <rPr>
        <rFont val="Calibri"/>
        <color rgb="FFFF0000"/>
      </rPr>
      <t xml:space="preserve">60,75 </t>
    </r>
    <r>
      <rPr>
        <rFont val="Calibri"/>
        <color theme="1"/>
      </rPr>
      <t xml:space="preserve">Paris - Bruxelles / </t>
    </r>
    <r>
      <rPr>
        <rFont val="Calibri"/>
        <color rgb="FFFF0000"/>
      </rPr>
      <t xml:space="preserve">1151,38 </t>
    </r>
    <r>
      <rPr>
        <rFont val="Calibri"/>
        <color theme="1"/>
      </rPr>
      <t>airbnb Amster</t>
    </r>
  </si>
  <si>
    <t xml:space="preserve"> Rotterdam si on a le temp</t>
  </si>
  <si>
    <t>Sheryne</t>
  </si>
  <si>
    <t>⛽ Essence / Péages (Estimé)</t>
  </si>
  <si>
    <t>?</t>
  </si>
  <si>
    <r>
      <rPr>
        <rFont val="Calibri"/>
        <color theme="1"/>
      </rPr>
      <t xml:space="preserve">Payer = </t>
    </r>
    <r>
      <rPr>
        <rFont val="Calibri"/>
        <color rgb="FFFF0000"/>
      </rPr>
      <t xml:space="preserve">580 </t>
    </r>
    <r>
      <rPr>
        <rFont val="Calibri"/>
        <color theme="1"/>
      </rPr>
      <t xml:space="preserve">Bruxelles - Amster - Paris / Voiture </t>
    </r>
    <r>
      <rPr>
        <rFont val="Calibri"/>
        <color rgb="FFFF0000"/>
      </rPr>
      <t xml:space="preserve">246 </t>
    </r>
  </si>
  <si>
    <t>Journée dédiée à la visite libre d'Amsterdam (Centre, canaux, Vondelpark).</t>
  </si>
  <si>
    <t>🚌 Transports publics AMS</t>
  </si>
  <si>
    <t>Shams</t>
  </si>
  <si>
    <t xml:space="preserve">Quartier Rouge+ Soirée : Bar </t>
  </si>
  <si>
    <t>oui (pas sûr)</t>
  </si>
  <si>
    <t>Train</t>
  </si>
  <si>
    <t>Amsterdam ➡️ Paris</t>
  </si>
  <si>
    <t>Dernière visite d'Amsterdam (+ payer les casiers pour les bagages). Retour TGV le plus tard possible.</t>
  </si>
  <si>
    <t>TOTAL</t>
  </si>
  <si>
    <t>Van Gogh+Dernier verre avant départ</t>
  </si>
  <si>
    <t>Tricount</t>
  </si>
  <si>
    <t>https://tricount.com/tSkUNTfaHoyjTpgAIS</t>
  </si>
  <si>
    <t>Activité</t>
  </si>
  <si>
    <t>🎟️ Musée Van Gogh</t>
  </si>
  <si>
    <t>🎟️ Maison d'Anne Frank</t>
  </si>
  <si>
    <t>🎟️ Giethoorn Canal Cruise</t>
  </si>
  <si>
    <t>Catégorie</t>
  </si>
  <si>
    <t>Logement</t>
  </si>
  <si>
    <t>🏠 Auberge Bruxelles (2 nuits)</t>
  </si>
  <si>
    <t>🏠 Airbnb Heemstede (5 nuits)</t>
  </si>
  <si>
    <t>🎟️ Moco Museum + Heineken</t>
  </si>
  <si>
    <t>Nourriture</t>
  </si>
  <si>
    <t>🛒 Courses &amp; Repas (~25€/j)</t>
  </si>
  <si>
    <t>Extra</t>
  </si>
  <si>
    <t>🍻 Soirées &amp; Bars</t>
  </si>
  <si>
    <t>📝 Divers / Imprévus</t>
  </si>
  <si>
    <t>**🏆 TOTAL**</t>
  </si>
  <si>
    <t>**COÛT GLOBAL ESTIMÉ**</t>
  </si>
  <si>
    <t>**-**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</si>
</sst>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&quot;€&quot;"/>
    <numFmt numFmtId="166" formatCode="#,##0.00&quot;€&quot;"/>
    <numFmt numFmtId="167" formatCode="#,##0.00\ [$€-1]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563C1"/>
      <name val="Roboto"/>
    </font>
    <font>
      <u/>
      <color rgb="FF0000FF"/>
      <name val="Roboto"/>
    </font>
    <font>
      <u/>
      <color rgb="FF0563C1"/>
      <name val="Roboto"/>
    </font>
    <font>
      <color rgb="FF000000"/>
      <name val="Calibri"/>
      <scheme val="minor"/>
    </font>
    <font>
      <u/>
      <color rgb="FF000000"/>
    </font>
    <font>
      <b/>
      <color rgb="FF1F1F1F"/>
      <name val="&quot;Google Sans Text&quot;"/>
    </font>
    <font>
      <color rgb="FF1F1F1F"/>
      <name val="&quot;Google Sans Text&quot;"/>
    </font>
    <font>
      <b/>
      <sz val="14.0"/>
      <color rgb="FF000000"/>
      <name val="Arial"/>
    </font>
    <font>
      <sz val="11.0"/>
      <color rgb="FF000000"/>
      <name val="Arial"/>
    </font>
    <font>
      <b/>
      <sz val="14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BF9000"/>
        <bgColor rgb="FFBF9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bottom style="thin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1" numFmtId="166" xfId="0" applyAlignment="1" applyFont="1" applyNumberFormat="1">
      <alignment shrinkToFit="0" vertical="center" wrapText="1"/>
    </xf>
    <xf borderId="3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shrinkToFit="0" wrapText="0"/>
    </xf>
    <xf borderId="0" fillId="0" fontId="1" numFmtId="166" xfId="0" applyAlignment="1" applyFont="1" applyNumberFormat="1">
      <alignment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1"/>
    </xf>
    <xf borderId="0" fillId="2" fontId="1" numFmtId="167" xfId="0" applyAlignment="1" applyFill="1" applyFont="1" applyNumberFormat="1">
      <alignment shrinkToFit="0" vertical="center" wrapText="0"/>
    </xf>
    <xf borderId="0" fillId="2" fontId="1" numFmtId="167" xfId="0" applyAlignment="1" applyFont="1" applyNumberFormat="1">
      <alignment readingOrder="0" shrinkToFit="0" vertical="center" wrapText="1"/>
    </xf>
    <xf borderId="0" fillId="2" fontId="1" numFmtId="167" xfId="0" applyAlignment="1" applyFont="1" applyNumberFormat="1">
      <alignment shrinkToFit="0" vertical="center" wrapText="1"/>
    </xf>
    <xf borderId="0" fillId="2" fontId="1" numFmtId="167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167" xfId="0" applyAlignment="1" applyFont="1" applyNumberFormat="1">
      <alignment readingOrder="0" shrinkToFit="0" vertical="center" wrapText="0"/>
    </xf>
    <xf borderId="0" fillId="3" fontId="1" numFmtId="167" xfId="0" applyAlignment="1" applyFill="1" applyFont="1" applyNumberFormat="1">
      <alignment shrinkToFit="0" vertical="center" wrapText="0"/>
    </xf>
    <xf borderId="0" fillId="4" fontId="1" numFmtId="167" xfId="0" applyAlignment="1" applyFill="1" applyFont="1" applyNumberFormat="1">
      <alignment shrinkToFit="0" vertical="center" wrapText="1"/>
    </xf>
    <xf borderId="0" fillId="5" fontId="1" numFmtId="167" xfId="0" applyAlignment="1" applyFill="1" applyFont="1" applyNumberFormat="1">
      <alignment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8" numFmtId="166" xfId="0" applyAlignment="1" applyFont="1" applyNumberFormat="1">
      <alignment readingOrder="0"/>
    </xf>
    <xf borderId="0" fillId="0" fontId="9" numFmtId="0" xfId="0" applyFont="1"/>
    <xf borderId="0" fillId="0" fontId="12" numFmtId="0" xfId="0" applyFont="1"/>
    <xf borderId="0" fillId="0" fontId="9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4D7EF"/>
          <bgColor rgb="FFD4D7E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6">
    <tableStyle count="5" pivot="0" name="Transpor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Activité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Logemen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Vue densemble Pays-Ba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Activité-style 2">
      <tableStyleElement dxfId="2" type="firstRowStripe"/>
      <tableStyleElement dxfId="3" type="secondRowStripe"/>
    </tableStyle>
    <tableStyle count="4" pivot="0" name="Vue densemble Pays-Bas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Tableau1" name="Tableau1" id="4">
  <tableColumns count="5">
    <tableColumn name="Prénom" id="1"/>
    <tableColumn name="Disponibilité (Août)" id="2"/>
    <tableColumn name="Présence" id="3"/>
    <tableColumn name="Remarques" id="4"/>
    <tableColumn name="Colonne 1" id="5"/>
  </tableColumns>
  <tableStyleInfo name="Vue densemble Pays-Bas-style" showColumnStripes="0" showFirstColumn="1" showLastColumn="1" showRowStripes="1"/>
</table>
</file>

<file path=xl/tables/table2.xml><?xml version="1.0" encoding="utf-8"?>
<table xmlns="http://schemas.openxmlformats.org/spreadsheetml/2006/main" ref="A16:F32" displayName="Tableau3" name="Tableau3" id="5">
  <tableColumns count="6">
    <tableColumn name="Catégorie" id="1"/>
    <tableColumn name="Dépense" id="2"/>
    <tableColumn name="Coût Total Estimé" id="3"/>
    <tableColumn name="Divisé par" id="4"/>
    <tableColumn name="Coût Team &quot;Chômeurs&quot; (Matin)" id="5"/>
    <tableColumn name="Coût Team &quot;Stagiaires&quot; (Soir)" id="6"/>
  </tableColumns>
  <tableStyleInfo name="Vue densemble Pays-Bas-style 2" showColumnStripes="0" showFirstColumn="1" showLastColumn="1" showRowStripes="1"/>
</table>
</file>

<file path=xl/tables/table3.xml><?xml version="1.0" encoding="utf-8"?>
<table xmlns="http://schemas.openxmlformats.org/spreadsheetml/2006/main" ref="A1:F8" displayName="Tableau5" name="Tableau5" id="3">
  <tableColumns count="6">
    <tableColumn name="Date" id="1"/>
    <tableColumn name="Trajet / Lieu" id="2"/>
    <tableColumn name="Programme précis de la journée" id="3"/>
    <tableColumn name="Activités prévues &amp; Soirée" id="4"/>
    <tableColumn name="Transport" id="5"/>
    <tableColumn name="note" id="6"/>
  </tableColumns>
  <tableStyleInfo name="Activité-style" showColumnStripes="0" showFirstColumn="1" showLastColumn="1" showRowStripes="1"/>
</table>
</file>

<file path=xl/tables/table4.xml><?xml version="1.0" encoding="utf-8"?>
<table xmlns="http://schemas.openxmlformats.org/spreadsheetml/2006/main" headerRowCount="0" ref="A13:F16" displayName="Table_1" name="Table_1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ctivité-style 2" showColumnStripes="0" showFirstColumn="1" showLastColumn="1" showRowStripes="1"/>
</table>
</file>

<file path=xl/tables/table5.xml><?xml version="1.0" encoding="utf-8"?>
<table xmlns="http://schemas.openxmlformats.org/spreadsheetml/2006/main" ref="A2:H4" displayName="Tableau7" name="Tableau7" id="2">
  <tableColumns count="8">
    <tableColumn name="Logement / Option" id="1"/>
    <tableColumn name="Lieu" id="2"/>
    <tableColumn name="Prix Total &amp; Capacité" id="3"/>
    <tableColumn name="Dates" id="4"/>
    <tableColumn name="Lien" id="5"/>
    <tableColumn name="Logement / Option 2" id="6"/>
    <tableColumn name="Lieu 2" id="7"/>
    <tableColumn name="Prix Total &amp; Capacité 2" id="8"/>
  </tableColumns>
  <tableStyleInfo name="Logement-style" showColumnStripes="0" showFirstColumn="1" showLastColumn="1" showRowStripes="1"/>
</table>
</file>

<file path=xl/tables/table6.xml><?xml version="1.0" encoding="utf-8"?>
<table xmlns="http://schemas.openxmlformats.org/spreadsheetml/2006/main" totalsRowCount="1" ref="A2:E9" displayName="Tableau4" name="Tableau4" id="1">
  <tableColumns count="5">
    <tableColumn totalsRowLabel="TOTAL" name="Dépense" id="1"/>
    <tableColumn totalsRowFunction="custom" name="Coût Total Estimé" id="2"/>
    <tableColumn name="Divisé par" id="3"/>
    <tableColumn totalsRowFunction="custom" name="Coût Team &quot;Chômeurs&quot; (Matin)" id="4"/>
    <tableColumn totalsRowFunction="custom" name="Coût Team &quot;Stagiaires&quot; (Soir)" id="5"/>
  </tableColumns>
  <tableStyleInfo name="Trans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icount.com/tSkUNTfaHoyjTpgAIS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vivreabruxelles.be/visiter-bruxelles-en-une-journee.html" TargetMode="External"/><Relationship Id="rId2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oking.com/hotel/be/brxxl-5-city-centre-hostel.en-gb.html" TargetMode="External"/><Relationship Id="rId2" Type="http://schemas.openxmlformats.org/officeDocument/2006/relationships/hyperlink" Target="https://www.airbnb.fr/rooms/3734312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scar.nl/en/booking/search?type_group=27&amp;delivery_at=2026-08-14&amp;postal=Amsterdam&amp;age=100&amp;pickup_at=2026-08-09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8.0"/>
    <col customWidth="1" min="3" max="3" width="25.57"/>
    <col customWidth="1" min="4" max="4" width="32.57"/>
    <col customWidth="1" min="5" max="5" width="33.29"/>
    <col customWidth="1" min="6" max="6" width="40.43"/>
    <col customWidth="1" min="7" max="7" width="15.43"/>
    <col customWidth="1" min="8" max="8" width="13.14"/>
    <col customWidth="1" min="9" max="9" width="43.0"/>
    <col customWidth="1" min="10" max="10" width="34.86"/>
    <col customWidth="1" min="11" max="11" width="20.0"/>
    <col customWidth="1" min="12" max="12" width="28.29"/>
    <col customWidth="1" min="13" max="13" width="31.29"/>
    <col customWidth="1" min="14" max="14" width="18.29"/>
    <col customWidth="1" min="15" max="15" width="8.71"/>
    <col customWidth="1" min="16" max="17" width="43.0"/>
    <col customWidth="1" min="18" max="18" width="34.86"/>
    <col customWidth="1" min="19" max="19" width="18.86"/>
    <col customWidth="1" min="20" max="20" width="33.71"/>
    <col customWidth="1" min="21" max="21" width="28.0"/>
    <col customWidth="1" min="22" max="22" width="20.0"/>
    <col customWidth="1" min="23" max="24" width="33.71"/>
    <col customWidth="1" min="25" max="26" width="8.71"/>
  </cols>
  <sheetData>
    <row r="1" ht="22.5" customHeight="1">
      <c r="A1" s="4" t="s">
        <v>3</v>
      </c>
      <c r="B1" s="4" t="s">
        <v>8</v>
      </c>
      <c r="C1" s="4" t="s">
        <v>12</v>
      </c>
      <c r="D1" s="4" t="s">
        <v>16</v>
      </c>
      <c r="E1" s="7" t="s">
        <v>19</v>
      </c>
      <c r="F1" s="8"/>
    </row>
    <row r="2" ht="22.5" customHeight="1">
      <c r="A2" s="10" t="s">
        <v>24</v>
      </c>
      <c r="B2" s="10" t="s">
        <v>27</v>
      </c>
      <c r="C2" s="12" t="s">
        <v>29</v>
      </c>
      <c r="D2" s="15" t="s">
        <v>34</v>
      </c>
      <c r="E2" s="16" t="s">
        <v>38</v>
      </c>
      <c r="F2" s="8"/>
      <c r="G2" s="17"/>
    </row>
    <row r="3" ht="22.5" customHeight="1">
      <c r="A3" s="10" t="s">
        <v>43</v>
      </c>
      <c r="B3" s="10" t="s">
        <v>45</v>
      </c>
      <c r="C3" s="12" t="s">
        <v>29</v>
      </c>
      <c r="D3" s="13"/>
      <c r="E3" s="24"/>
      <c r="F3" s="8"/>
    </row>
    <row r="4" ht="22.5" customHeight="1">
      <c r="A4" s="10" t="s">
        <v>54</v>
      </c>
      <c r="B4" s="10" t="s">
        <v>45</v>
      </c>
      <c r="C4" s="12" t="s">
        <v>29</v>
      </c>
      <c r="D4" s="13"/>
      <c r="E4" s="24"/>
      <c r="F4" s="8"/>
    </row>
    <row r="5" ht="22.5" customHeight="1">
      <c r="A5" s="10" t="s">
        <v>59</v>
      </c>
      <c r="B5" s="10" t="s">
        <v>45</v>
      </c>
      <c r="C5" s="12" t="s">
        <v>29</v>
      </c>
      <c r="D5" s="15" t="s">
        <v>63</v>
      </c>
      <c r="E5" s="24"/>
      <c r="F5" s="8"/>
    </row>
    <row r="6" ht="22.5" customHeight="1">
      <c r="A6" s="10" t="s">
        <v>64</v>
      </c>
      <c r="B6" s="10" t="s">
        <v>45</v>
      </c>
      <c r="C6" s="12" t="s">
        <v>29</v>
      </c>
      <c r="D6" s="13"/>
      <c r="E6" s="24"/>
      <c r="F6" s="8"/>
    </row>
    <row r="7" ht="22.5" customHeight="1">
      <c r="A7" s="10" t="s">
        <v>68</v>
      </c>
      <c r="B7" s="10" t="s">
        <v>69</v>
      </c>
      <c r="C7" s="12" t="s">
        <v>29</v>
      </c>
      <c r="D7" s="15" t="s">
        <v>70</v>
      </c>
      <c r="E7" s="24"/>
      <c r="F7" s="8"/>
    </row>
    <row r="8" ht="22.5" customHeight="1">
      <c r="A8" s="10" t="s">
        <v>72</v>
      </c>
      <c r="B8" s="10" t="s">
        <v>74</v>
      </c>
      <c r="C8" s="12" t="s">
        <v>29</v>
      </c>
      <c r="D8" s="15" t="s">
        <v>75</v>
      </c>
      <c r="E8" s="24"/>
      <c r="F8" s="8"/>
    </row>
    <row r="9" ht="22.5" customHeight="1">
      <c r="A9" s="10" t="s">
        <v>78</v>
      </c>
      <c r="B9" s="10" t="s">
        <v>80</v>
      </c>
      <c r="C9" s="28" t="s">
        <v>29</v>
      </c>
      <c r="D9" s="13"/>
      <c r="E9" s="24"/>
      <c r="F9" s="8"/>
    </row>
    <row r="10" ht="30.0" customHeight="1">
      <c r="F10" s="8"/>
    </row>
    <row r="11">
      <c r="A11" s="30" t="s">
        <v>86</v>
      </c>
      <c r="B11" s="35" t="s">
        <v>87</v>
      </c>
      <c r="C11" s="1"/>
      <c r="E11" s="1"/>
      <c r="F11" s="8"/>
    </row>
    <row r="12">
      <c r="A12" s="1"/>
      <c r="C12" s="1"/>
      <c r="D12" s="1"/>
      <c r="E12" s="1"/>
      <c r="F12" s="8"/>
    </row>
    <row r="13">
      <c r="A13" s="1"/>
      <c r="B13" s="1"/>
      <c r="D13" s="1"/>
      <c r="E13" s="1"/>
      <c r="F13" s="8"/>
    </row>
    <row r="14">
      <c r="A14" s="1"/>
      <c r="B14" s="1"/>
      <c r="C14" s="1"/>
      <c r="D14" s="1"/>
      <c r="E14" s="1"/>
      <c r="F14" s="1"/>
    </row>
    <row r="15" ht="15.75" customHeight="1">
      <c r="A15" s="1"/>
      <c r="B15" s="1"/>
      <c r="C15" s="1"/>
      <c r="D15" s="1"/>
      <c r="E15" s="1"/>
      <c r="F15" s="1"/>
    </row>
    <row r="16" ht="15.75" customHeight="1">
      <c r="A16" s="4" t="s">
        <v>92</v>
      </c>
      <c r="B16" s="3" t="s">
        <v>4</v>
      </c>
      <c r="C16" s="4" t="s">
        <v>5</v>
      </c>
      <c r="D16" s="4" t="s">
        <v>6</v>
      </c>
      <c r="E16" s="3" t="s">
        <v>9</v>
      </c>
      <c r="F16" s="3" t="s">
        <v>11</v>
      </c>
    </row>
    <row r="17" ht="15.75" customHeight="1">
      <c r="A17" s="10" t="s">
        <v>20</v>
      </c>
      <c r="B17" s="13" t="s">
        <v>37</v>
      </c>
      <c r="C17" s="39">
        <v>197.0</v>
      </c>
      <c r="D17" s="12" t="s">
        <v>41</v>
      </c>
      <c r="E17" s="40">
        <v>19.0</v>
      </c>
      <c r="F17" s="40">
        <v>28.0</v>
      </c>
    </row>
    <row r="18" ht="15.75" customHeight="1">
      <c r="A18" s="10" t="s">
        <v>20</v>
      </c>
      <c r="B18" s="13" t="s">
        <v>42</v>
      </c>
      <c r="C18" s="39">
        <v>199.0</v>
      </c>
      <c r="D18" s="12" t="s">
        <v>44</v>
      </c>
      <c r="E18" s="41">
        <v>24.88</v>
      </c>
      <c r="F18" s="41">
        <v>24.88</v>
      </c>
    </row>
    <row r="19" ht="15.75" customHeight="1">
      <c r="A19" s="10" t="s">
        <v>20</v>
      </c>
      <c r="B19" s="13" t="s">
        <v>55</v>
      </c>
      <c r="C19" s="39">
        <v>360.0</v>
      </c>
      <c r="D19" s="12" t="s">
        <v>44</v>
      </c>
      <c r="E19" s="41">
        <v>45.0</v>
      </c>
      <c r="F19" s="41">
        <v>45.0</v>
      </c>
    </row>
    <row r="20" ht="15.75" customHeight="1">
      <c r="A20" s="10" t="s">
        <v>20</v>
      </c>
      <c r="B20" s="13" t="s">
        <v>58</v>
      </c>
      <c r="C20" s="42">
        <v>246.0</v>
      </c>
      <c r="D20" s="12" t="s">
        <v>44</v>
      </c>
      <c r="E20" s="41">
        <f>C20/8</f>
        <v>30.75</v>
      </c>
      <c r="F20" s="41">
        <f>C20/8</f>
        <v>30.75</v>
      </c>
    </row>
    <row r="21" ht="15.75" customHeight="1">
      <c r="A21" s="10" t="s">
        <v>20</v>
      </c>
      <c r="B21" s="13" t="s">
        <v>73</v>
      </c>
      <c r="C21" s="43">
        <v>70.0</v>
      </c>
      <c r="D21" s="12" t="s">
        <v>44</v>
      </c>
      <c r="E21" s="44">
        <v>8.75</v>
      </c>
      <c r="F21" s="44">
        <v>8.75</v>
      </c>
    </row>
    <row r="22" ht="15.75" customHeight="1">
      <c r="A22" s="10" t="s">
        <v>20</v>
      </c>
      <c r="B22" s="13" t="s">
        <v>77</v>
      </c>
      <c r="C22" s="43">
        <v>360.0</v>
      </c>
      <c r="D22" s="12" t="s">
        <v>44</v>
      </c>
      <c r="E22" s="44">
        <v>45.0</v>
      </c>
      <c r="F22" s="44">
        <v>45.0</v>
      </c>
    </row>
    <row r="23" ht="15.75" customHeight="1">
      <c r="A23" s="10" t="s">
        <v>93</v>
      </c>
      <c r="B23" s="13" t="s">
        <v>94</v>
      </c>
      <c r="C23" s="39">
        <v>518.0</v>
      </c>
      <c r="D23" s="12" t="s">
        <v>44</v>
      </c>
      <c r="E23" s="41">
        <v>64.75</v>
      </c>
      <c r="F23" s="41">
        <v>64.75</v>
      </c>
    </row>
    <row r="24" ht="15.75" customHeight="1">
      <c r="A24" s="10" t="s">
        <v>93</v>
      </c>
      <c r="B24" s="13" t="s">
        <v>95</v>
      </c>
      <c r="C24" s="42">
        <v>2012.0</v>
      </c>
      <c r="D24" s="12" t="s">
        <v>44</v>
      </c>
      <c r="E24" s="41">
        <v>251.5</v>
      </c>
      <c r="F24" s="41">
        <v>251.5</v>
      </c>
    </row>
    <row r="25" ht="15.75" customHeight="1">
      <c r="A25" s="10" t="s">
        <v>88</v>
      </c>
      <c r="B25" s="13" t="s">
        <v>96</v>
      </c>
      <c r="C25" s="43">
        <v>320.0</v>
      </c>
      <c r="D25" s="12" t="s">
        <v>44</v>
      </c>
      <c r="E25" s="44">
        <v>40.0</v>
      </c>
      <c r="F25" s="44">
        <v>40.0</v>
      </c>
      <c r="N25" s="45"/>
      <c r="O25" s="46"/>
      <c r="P25" s="46"/>
      <c r="Q25" s="46"/>
    </row>
    <row r="26" ht="30.0" customHeight="1">
      <c r="A26" s="10" t="s">
        <v>88</v>
      </c>
      <c r="B26" s="13" t="s">
        <v>89</v>
      </c>
      <c r="C26" s="43">
        <v>120.0</v>
      </c>
      <c r="D26" s="12" t="s">
        <v>44</v>
      </c>
      <c r="E26" s="44">
        <v>15.0</v>
      </c>
      <c r="F26" s="44">
        <v>15.0</v>
      </c>
    </row>
    <row r="27" ht="15.75" customHeight="1">
      <c r="A27" s="10" t="s">
        <v>88</v>
      </c>
      <c r="B27" s="13" t="s">
        <v>90</v>
      </c>
      <c r="C27" s="43">
        <v>56.0</v>
      </c>
      <c r="D27" s="12" t="s">
        <v>44</v>
      </c>
      <c r="E27" s="44">
        <v>7.0</v>
      </c>
      <c r="F27" s="44">
        <v>7.0</v>
      </c>
    </row>
    <row r="28" ht="15.75" customHeight="1">
      <c r="A28" s="10" t="s">
        <v>88</v>
      </c>
      <c r="B28" s="13" t="s">
        <v>91</v>
      </c>
      <c r="C28" s="43">
        <v>72.0</v>
      </c>
      <c r="D28" s="12" t="s">
        <v>44</v>
      </c>
      <c r="E28" s="44">
        <v>9.0</v>
      </c>
      <c r="F28" s="44">
        <v>9.0</v>
      </c>
    </row>
    <row r="29" ht="15.75" customHeight="1">
      <c r="A29" s="10" t="s">
        <v>97</v>
      </c>
      <c r="B29" s="13" t="s">
        <v>98</v>
      </c>
      <c r="C29" s="47">
        <v>1600.0</v>
      </c>
      <c r="D29" s="12" t="s">
        <v>44</v>
      </c>
      <c r="E29" s="44">
        <v>200.0</v>
      </c>
      <c r="F29" s="44">
        <v>200.0</v>
      </c>
    </row>
    <row r="30" ht="15.75" customHeight="1">
      <c r="A30" s="10" t="s">
        <v>99</v>
      </c>
      <c r="B30" s="13" t="s">
        <v>100</v>
      </c>
      <c r="C30" s="43">
        <v>400.0</v>
      </c>
      <c r="D30" s="12" t="s">
        <v>44</v>
      </c>
      <c r="E30" s="44">
        <v>50.0</v>
      </c>
      <c r="F30" s="44">
        <v>50.0</v>
      </c>
    </row>
    <row r="31" ht="15.75" customHeight="1">
      <c r="A31" s="10" t="s">
        <v>99</v>
      </c>
      <c r="B31" s="13" t="s">
        <v>101</v>
      </c>
      <c r="C31" s="43">
        <v>160.0</v>
      </c>
      <c r="D31" s="12" t="s">
        <v>44</v>
      </c>
      <c r="E31" s="44">
        <v>20.0</v>
      </c>
      <c r="F31" s="44">
        <v>20.0</v>
      </c>
    </row>
    <row r="32" ht="15.75" customHeight="1">
      <c r="A32" s="10" t="s">
        <v>102</v>
      </c>
      <c r="B32" s="13" t="s">
        <v>103</v>
      </c>
      <c r="C32" s="48">
        <f>SUM(C17:C31)</f>
        <v>6690</v>
      </c>
      <c r="D32" s="12" t="s">
        <v>104</v>
      </c>
      <c r="E32" s="49">
        <f t="shared" ref="E32:F32" si="1">SUM(E17:E31)</f>
        <v>830.63</v>
      </c>
      <c r="F32" s="50">
        <f t="shared" si="1"/>
        <v>839.63</v>
      </c>
    </row>
    <row r="33" ht="15.75" customHeight="1">
      <c r="B33" s="51"/>
      <c r="C33" s="1"/>
      <c r="D33" s="1"/>
      <c r="E33" s="1"/>
      <c r="F33" s="1"/>
    </row>
    <row r="34" ht="15.75" customHeight="1">
      <c r="B34" s="52"/>
      <c r="C34" s="1"/>
      <c r="D34" s="1"/>
      <c r="E34" s="1"/>
      <c r="F34" s="1"/>
    </row>
    <row r="35" ht="15.75" customHeight="1">
      <c r="B35" s="52"/>
      <c r="C35" s="1"/>
      <c r="D35" s="1"/>
      <c r="E35" s="1"/>
      <c r="F35" s="1"/>
    </row>
    <row r="36" ht="15.75" customHeight="1">
      <c r="B36" s="52"/>
      <c r="C36" s="1"/>
      <c r="D36" s="1"/>
      <c r="E36" s="1"/>
      <c r="F36" s="1"/>
      <c r="N36" s="46"/>
      <c r="O36" s="46"/>
      <c r="P36" s="46"/>
    </row>
    <row r="37" ht="15.75" customHeight="1">
      <c r="B37" s="52"/>
      <c r="C37" s="1"/>
      <c r="D37" s="1"/>
      <c r="E37" s="1"/>
      <c r="F37" s="1"/>
      <c r="N37" s="46"/>
      <c r="O37" s="45"/>
      <c r="P37" s="45"/>
    </row>
    <row r="38" ht="15.75" customHeight="1">
      <c r="B38" s="52"/>
      <c r="C38" s="1"/>
      <c r="D38" s="1"/>
      <c r="E38" s="1"/>
      <c r="F38" s="1"/>
      <c r="N38" s="46"/>
      <c r="O38" s="53"/>
      <c r="P38" s="53"/>
    </row>
    <row r="39" ht="15.75" customHeight="1">
      <c r="B39" s="52"/>
      <c r="C39" s="1"/>
      <c r="D39" s="1"/>
      <c r="E39" s="1"/>
      <c r="F39" s="1"/>
      <c r="N39" s="46"/>
      <c r="O39" s="53"/>
      <c r="P39" s="53"/>
    </row>
    <row r="40" ht="15.75" customHeight="1">
      <c r="B40" s="52"/>
      <c r="C40" s="1"/>
      <c r="D40" s="1"/>
      <c r="E40" s="1"/>
      <c r="F40" s="1"/>
      <c r="M40" s="54"/>
      <c r="N40" s="46"/>
      <c r="O40" s="53"/>
      <c r="P40" s="53"/>
    </row>
    <row r="41" ht="15.75" customHeight="1">
      <c r="B41" s="52"/>
      <c r="C41" s="1"/>
      <c r="D41" s="1"/>
      <c r="E41" s="1"/>
      <c r="F41" s="1"/>
      <c r="M41" s="54"/>
      <c r="N41" s="46"/>
      <c r="O41" s="53"/>
      <c r="P41" s="53"/>
    </row>
    <row r="42" ht="15.75" customHeight="1">
      <c r="A42" s="55"/>
      <c r="B42" s="51"/>
      <c r="C42" s="1"/>
      <c r="D42" s="1"/>
      <c r="E42" s="1"/>
      <c r="F42" s="1"/>
      <c r="G42" s="55"/>
      <c r="H42" s="55"/>
      <c r="L42" s="55"/>
      <c r="M42" s="56"/>
      <c r="N42" s="46"/>
      <c r="O42" s="53"/>
      <c r="P42" s="53"/>
      <c r="Q42" s="55"/>
      <c r="R42" s="55"/>
      <c r="S42" s="55"/>
      <c r="T42" s="55"/>
      <c r="U42" s="55"/>
    </row>
    <row r="43" ht="15.75" customHeight="1">
      <c r="B43" s="52"/>
      <c r="C43" s="1"/>
      <c r="D43" s="1"/>
      <c r="E43" s="1"/>
      <c r="F43" s="1"/>
      <c r="M43" s="45"/>
      <c r="N43" s="46"/>
      <c r="O43" s="53"/>
      <c r="P43" s="53"/>
    </row>
    <row r="44" ht="15.75" customHeight="1">
      <c r="B44" s="52"/>
      <c r="C44" s="1"/>
      <c r="D44" s="1"/>
      <c r="E44" s="1"/>
      <c r="F44" s="1"/>
      <c r="M44" s="54"/>
      <c r="N44" s="46"/>
      <c r="O44" s="53"/>
      <c r="P44" s="53"/>
    </row>
    <row r="45" ht="15.75" customHeight="1">
      <c r="B45" s="52"/>
      <c r="C45" s="1"/>
      <c r="D45" s="1"/>
      <c r="E45" s="1"/>
      <c r="F45" s="1"/>
      <c r="M45" s="45"/>
      <c r="N45" s="46"/>
      <c r="O45" s="53"/>
      <c r="P45" s="53"/>
    </row>
    <row r="46" ht="15.75" customHeight="1">
      <c r="B46" s="52"/>
      <c r="C46" s="1"/>
      <c r="D46" s="1"/>
      <c r="E46" s="1"/>
      <c r="F46" s="1"/>
      <c r="I46" s="46"/>
      <c r="J46" s="46"/>
      <c r="K46" s="46"/>
      <c r="M46" s="54"/>
      <c r="N46" s="46"/>
      <c r="O46" s="53"/>
      <c r="P46" s="53"/>
    </row>
    <row r="47" ht="15.75" customHeight="1">
      <c r="B47" s="52"/>
      <c r="C47" s="1"/>
      <c r="D47" s="1"/>
      <c r="E47" s="1"/>
      <c r="F47" s="1"/>
      <c r="M47" s="54"/>
      <c r="N47" s="46"/>
      <c r="O47" s="53"/>
      <c r="P47" s="53"/>
    </row>
    <row r="48" ht="15.75" customHeight="1">
      <c r="B48" s="51"/>
      <c r="C48" s="1"/>
      <c r="D48" s="1"/>
      <c r="E48" s="1"/>
      <c r="F48" s="1"/>
      <c r="M48" s="54"/>
      <c r="N48" s="46"/>
      <c r="O48" s="53"/>
      <c r="P48" s="53"/>
    </row>
    <row r="49" ht="15.75" customHeight="1">
      <c r="B49" s="52"/>
      <c r="C49" s="46"/>
      <c r="D49" s="46"/>
      <c r="E49" s="46"/>
      <c r="F49" s="46"/>
      <c r="M49" s="45"/>
      <c r="N49" s="46"/>
      <c r="O49" s="53"/>
      <c r="P49" s="53"/>
    </row>
    <row r="50" ht="15.75" customHeight="1">
      <c r="B50" s="52"/>
      <c r="M50" s="45"/>
      <c r="N50" s="46"/>
      <c r="O50" s="53"/>
      <c r="P50" s="53"/>
    </row>
    <row r="51" ht="15.75" customHeight="1">
      <c r="B51" s="52"/>
      <c r="M51" s="54"/>
      <c r="N51" s="46"/>
      <c r="O51" s="53"/>
      <c r="P51" s="53"/>
    </row>
    <row r="52" ht="15.75" customHeight="1">
      <c r="B52" s="52"/>
      <c r="M52" s="54"/>
      <c r="N52" s="54"/>
      <c r="O52" s="54"/>
      <c r="P52" s="54"/>
    </row>
    <row r="53" ht="15.75" customHeight="1">
      <c r="B53" s="52"/>
      <c r="M53" s="46"/>
      <c r="N53" s="45"/>
      <c r="O53" s="46"/>
      <c r="P53" s="46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1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1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1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1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>
    <dataValidation type="custom" allowBlank="1" showDropDown="1" sqref="C17:C32 E17:F32">
      <formula1>AND(ISNUMBER(C17),(NOT(OR(NOT(ISERROR(DATEVALUE(C17))), AND(ISNUMBER(C17), LEFT(CELL("format", C17))="D")))))</formula1>
    </dataValidation>
    <dataValidation type="list" allowBlank="1" sqref="C2:C9">
      <formula1>"✅ OUI,✅ OUI,✅ OUI,✅ OUI,✅ OUI,✅ OUI,✅ OUI,⚠️ MAYBE,❌ NON,❌ NON,❌ NON"</formula1>
    </dataValidation>
    <dataValidation type="list" allowBlank="1" sqref="D17:D32">
      <formula1>"Selon train,8 pers,8 pers,8 pers,8 pers,8 pers,8 pers,8 pers,8 pers,8 pers,8 pers,8 pers,8 pers,8 pers,8 pers,**-**"</formula1>
    </dataValidation>
  </dataValidations>
  <hyperlinks>
    <hyperlink r:id="rId1" ref="B11"/>
  </hyperlinks>
  <printOptions/>
  <pageMargins bottom="0.75" footer="0.0" header="0.0" left="0.7" right="0.7" top="0.75"/>
  <pageSetup orientation="portrait"/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33.86"/>
    <col customWidth="1" min="3" max="3" width="56.57"/>
    <col customWidth="1" min="4" max="4" width="42.29"/>
    <col customWidth="1" min="5" max="5" width="38.86"/>
    <col customWidth="1" min="6" max="6" width="45.0"/>
  </cols>
  <sheetData>
    <row r="1" ht="22.5" customHeight="1">
      <c r="A1" s="5" t="s">
        <v>0</v>
      </c>
      <c r="B1" s="5" t="s">
        <v>10</v>
      </c>
      <c r="C1" s="6" t="s">
        <v>13</v>
      </c>
      <c r="D1" s="6" t="s">
        <v>17</v>
      </c>
      <c r="E1" s="5" t="s">
        <v>20</v>
      </c>
      <c r="F1" s="9" t="s">
        <v>22</v>
      </c>
    </row>
    <row r="2" ht="45.75" customHeight="1">
      <c r="A2" s="11">
        <v>46242.0</v>
      </c>
      <c r="B2" s="10" t="s">
        <v>30</v>
      </c>
      <c r="C2" s="13" t="s">
        <v>33</v>
      </c>
      <c r="D2" s="13" t="s">
        <v>36</v>
      </c>
      <c r="E2" s="13" t="s">
        <v>39</v>
      </c>
      <c r="F2" s="21" t="s">
        <v>40</v>
      </c>
    </row>
    <row r="3" ht="54.75" customHeight="1">
      <c r="A3" s="11">
        <v>46243.0</v>
      </c>
      <c r="B3" s="10" t="s">
        <v>50</v>
      </c>
      <c r="C3" s="13" t="s">
        <v>53</v>
      </c>
      <c r="D3" s="13" t="s">
        <v>36</v>
      </c>
      <c r="E3" s="25" t="s">
        <v>56</v>
      </c>
    </row>
    <row r="4" ht="47.25" customHeight="1">
      <c r="A4" s="11">
        <v>46244.0</v>
      </c>
      <c r="B4" s="10" t="s">
        <v>48</v>
      </c>
      <c r="C4" s="13" t="s">
        <v>57</v>
      </c>
      <c r="D4" s="15" t="s">
        <v>60</v>
      </c>
      <c r="E4" s="10" t="s">
        <v>62</v>
      </c>
    </row>
    <row r="5" ht="52.5" customHeight="1">
      <c r="A5" s="11">
        <v>46245.0</v>
      </c>
      <c r="B5" s="10" t="s">
        <v>48</v>
      </c>
      <c r="C5" s="13" t="s">
        <v>65</v>
      </c>
      <c r="D5" s="15" t="s">
        <v>66</v>
      </c>
      <c r="E5" s="10" t="s">
        <v>67</v>
      </c>
    </row>
    <row r="6" ht="37.5" customHeight="1">
      <c r="A6" s="11">
        <v>46246.0</v>
      </c>
      <c r="B6" s="10" t="s">
        <v>48</v>
      </c>
      <c r="C6" s="15" t="s">
        <v>71</v>
      </c>
      <c r="D6" s="15" t="s">
        <v>36</v>
      </c>
      <c r="E6" s="10" t="s">
        <v>67</v>
      </c>
    </row>
    <row r="7" ht="22.5" customHeight="1">
      <c r="A7" s="11">
        <v>46247.0</v>
      </c>
      <c r="B7" s="10" t="s">
        <v>48</v>
      </c>
      <c r="C7" s="13" t="s">
        <v>76</v>
      </c>
      <c r="D7" s="15" t="s">
        <v>79</v>
      </c>
      <c r="E7" s="10" t="s">
        <v>81</v>
      </c>
    </row>
    <row r="8" ht="47.25" customHeight="1">
      <c r="A8" s="11">
        <v>46248.0</v>
      </c>
      <c r="B8" s="10" t="s">
        <v>82</v>
      </c>
      <c r="C8" s="13" t="s">
        <v>83</v>
      </c>
      <c r="D8" s="15" t="s">
        <v>85</v>
      </c>
      <c r="E8" s="10" t="s">
        <v>56</v>
      </c>
    </row>
    <row r="13">
      <c r="A13" s="31"/>
      <c r="B13" s="32"/>
      <c r="C13" s="33"/>
      <c r="D13" s="34"/>
      <c r="F13" s="34"/>
    </row>
    <row r="14">
      <c r="A14" s="31" t="s">
        <v>88</v>
      </c>
      <c r="B14" s="32" t="s">
        <v>89</v>
      </c>
      <c r="C14" s="33">
        <v>120.0</v>
      </c>
      <c r="D14" s="31" t="s">
        <v>44</v>
      </c>
      <c r="E14" s="34">
        <v>15.0</v>
      </c>
      <c r="F14" s="34">
        <v>15.0</v>
      </c>
    </row>
    <row r="15">
      <c r="A15" s="31" t="s">
        <v>88</v>
      </c>
      <c r="B15" s="32" t="s">
        <v>90</v>
      </c>
      <c r="C15" s="33">
        <v>56.0</v>
      </c>
      <c r="D15" s="31" t="s">
        <v>44</v>
      </c>
      <c r="E15" s="34">
        <v>7.0</v>
      </c>
      <c r="F15" s="34">
        <v>7.0</v>
      </c>
    </row>
    <row r="16">
      <c r="A16" s="31" t="s">
        <v>88</v>
      </c>
      <c r="B16" s="32" t="s">
        <v>91</v>
      </c>
      <c r="C16" s="33">
        <v>72.0</v>
      </c>
      <c r="D16" s="31" t="s">
        <v>44</v>
      </c>
      <c r="E16" s="34">
        <v>9.0</v>
      </c>
      <c r="F16" s="34">
        <v>9.0</v>
      </c>
    </row>
  </sheetData>
  <dataValidations>
    <dataValidation type="list" allowBlank="1" sqref="D14:D16">
      <formula1>"Selon train,8 pers,8 pers,8 pers,8 pers,8 pers,8 pers,8 pers,8 pers,8 pers,8 pers,8 pers,8 pers,8 pers,8 pers,**-**"</formula1>
    </dataValidation>
    <dataValidation type="custom" allowBlank="1" showDropDown="1" sqref="A2:A8">
      <formula1>OR(NOT(ISERROR(DATEVALUE(A2))), AND(ISNUMBER(A2), LEFT(CELL("format", A2))="D"))</formula1>
    </dataValidation>
  </dataValidations>
  <hyperlinks>
    <hyperlink r:id="rId1" ref="F2"/>
  </hyperlinks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3.29"/>
    <col customWidth="1" min="3" max="3" width="25.57"/>
    <col customWidth="1" min="4" max="4" width="17.0"/>
    <col customWidth="1" min="5" max="5" width="19.57"/>
    <col customWidth="1" min="6" max="6" width="23.71"/>
    <col customWidth="1" min="7" max="7" width="13.29"/>
    <col customWidth="1" min="8" max="8" width="25.57"/>
  </cols>
  <sheetData>
    <row r="2" ht="22.5" customHeight="1">
      <c r="A2" s="4" t="s">
        <v>1</v>
      </c>
      <c r="B2" s="4" t="s">
        <v>7</v>
      </c>
      <c r="C2" s="4" t="s">
        <v>15</v>
      </c>
      <c r="D2" s="4" t="s">
        <v>18</v>
      </c>
      <c r="E2" s="4" t="s">
        <v>21</v>
      </c>
      <c r="F2" s="4" t="s">
        <v>23</v>
      </c>
      <c r="G2" s="4" t="s">
        <v>25</v>
      </c>
      <c r="H2" s="4" t="s">
        <v>26</v>
      </c>
    </row>
    <row r="3" ht="62.25" customHeight="1">
      <c r="A3" s="10" t="s">
        <v>28</v>
      </c>
      <c r="B3" s="10" t="s">
        <v>30</v>
      </c>
      <c r="C3" s="10" t="s">
        <v>31</v>
      </c>
      <c r="D3" s="10" t="s">
        <v>32</v>
      </c>
      <c r="E3" s="20" t="s">
        <v>35</v>
      </c>
      <c r="F3" s="10" t="s">
        <v>28</v>
      </c>
      <c r="G3" s="10" t="s">
        <v>30</v>
      </c>
      <c r="H3" s="10" t="s">
        <v>46</v>
      </c>
    </row>
    <row r="4" ht="77.25" customHeight="1">
      <c r="A4" s="23" t="s">
        <v>47</v>
      </c>
      <c r="B4" s="23" t="s">
        <v>48</v>
      </c>
      <c r="C4" s="23" t="s">
        <v>49</v>
      </c>
      <c r="D4" s="23" t="s">
        <v>51</v>
      </c>
      <c r="E4" s="26" t="s">
        <v>52</v>
      </c>
      <c r="F4" s="23" t="s">
        <v>47</v>
      </c>
      <c r="G4" s="23" t="s">
        <v>48</v>
      </c>
      <c r="H4" s="23" t="s">
        <v>61</v>
      </c>
    </row>
  </sheetData>
  <hyperlinks>
    <hyperlink r:id="rId1" ref="E3"/>
    <hyperlink r:id="rId2" ref="E4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8.29"/>
    <col customWidth="1" min="3" max="3" width="27.43"/>
    <col customWidth="1" min="4" max="4" width="30.0"/>
    <col customWidth="1" min="5" max="5" width="18.29"/>
    <col customWidth="1" min="7" max="7" width="44.14"/>
  </cols>
  <sheetData>
    <row r="1">
      <c r="A1" s="1"/>
      <c r="B1" s="1"/>
      <c r="C1" s="1"/>
      <c r="D1" s="1"/>
      <c r="E1" s="1"/>
      <c r="G1" s="2" t="s">
        <v>2</v>
      </c>
    </row>
    <row r="2" ht="22.5" customHeight="1">
      <c r="A2" s="3" t="s">
        <v>4</v>
      </c>
      <c r="B2" s="4" t="s">
        <v>5</v>
      </c>
      <c r="C2" s="4" t="s">
        <v>6</v>
      </c>
      <c r="D2" s="3" t="s">
        <v>9</v>
      </c>
      <c r="E2" s="3" t="s">
        <v>11</v>
      </c>
      <c r="G2" s="14" t="s">
        <v>14</v>
      </c>
    </row>
    <row r="3" ht="22.5" customHeight="1">
      <c r="A3" s="13" t="s">
        <v>37</v>
      </c>
      <c r="B3" s="18">
        <v>197.0</v>
      </c>
      <c r="C3" s="12" t="s">
        <v>41</v>
      </c>
      <c r="D3" s="19">
        <v>19.0</v>
      </c>
      <c r="E3" s="19">
        <v>28.0</v>
      </c>
    </row>
    <row r="4" ht="22.5" customHeight="1">
      <c r="A4" s="13" t="s">
        <v>42</v>
      </c>
      <c r="B4" s="18">
        <v>199.0</v>
      </c>
      <c r="C4" s="12" t="s">
        <v>44</v>
      </c>
      <c r="D4" s="22">
        <v>24.88</v>
      </c>
      <c r="E4" s="22">
        <v>24.88</v>
      </c>
    </row>
    <row r="5" ht="22.5" customHeight="1">
      <c r="A5" s="13" t="s">
        <v>55</v>
      </c>
      <c r="B5" s="18">
        <v>360.0</v>
      </c>
      <c r="C5" s="12" t="s">
        <v>44</v>
      </c>
      <c r="D5" s="22">
        <v>45.0</v>
      </c>
      <c r="E5" s="22">
        <v>45.0</v>
      </c>
    </row>
    <row r="6" ht="22.5" customHeight="1">
      <c r="A6" s="13" t="s">
        <v>58</v>
      </c>
      <c r="B6" s="27">
        <v>246.0</v>
      </c>
      <c r="C6" s="12" t="s">
        <v>44</v>
      </c>
      <c r="D6" s="22">
        <f>B6/8</f>
        <v>30.75</v>
      </c>
      <c r="E6" s="22">
        <f>B6/8</f>
        <v>30.75</v>
      </c>
    </row>
    <row r="7" ht="22.5" customHeight="1">
      <c r="A7" s="13" t="s">
        <v>73</v>
      </c>
      <c r="B7" s="18">
        <v>70.0</v>
      </c>
      <c r="C7" s="12" t="s">
        <v>44</v>
      </c>
      <c r="D7" s="22">
        <v>8.75</v>
      </c>
      <c r="E7" s="22">
        <v>8.75</v>
      </c>
    </row>
    <row r="8" ht="22.5" customHeight="1">
      <c r="A8" s="13" t="s">
        <v>77</v>
      </c>
      <c r="B8" s="18">
        <v>360.0</v>
      </c>
      <c r="C8" s="12" t="s">
        <v>44</v>
      </c>
      <c r="D8" s="22">
        <v>45.0</v>
      </c>
      <c r="E8" s="22">
        <v>45.0</v>
      </c>
    </row>
    <row r="9" ht="22.5" customHeight="1">
      <c r="A9" s="29" t="s">
        <v>84</v>
      </c>
      <c r="B9" s="36">
        <f>SUM(Tableau4[Coût Total Estimé])</f>
        <v>1432</v>
      </c>
      <c r="C9" s="37"/>
      <c r="D9" s="38">
        <f t="shared" ref="D9:E9" si="1">SUM(D8+D7+D6+D5+D4+D3)</f>
        <v>173.38</v>
      </c>
      <c r="E9" s="38">
        <f t="shared" si="1"/>
        <v>182.38</v>
      </c>
    </row>
  </sheetData>
  <dataValidations>
    <dataValidation type="list" allowBlank="1" sqref="C3:C8">
      <formula1>"Selon train,8 pers,8 pers,8 pers,8 pers,8 pers,8 pers,8 pers,8 pers,8 pers,8 pers,8 pers,8 pers,8 pers,8 pers,**-**"</formula1>
    </dataValidation>
  </dataValidations>
  <hyperlinks>
    <hyperlink r:id="rId1" ref="G2"/>
  </hyperlinks>
  <drawing r:id="rId2"/>
  <tableParts count="1">
    <tablePart r:id="rId4"/>
  </tableParts>
</worksheet>
</file>